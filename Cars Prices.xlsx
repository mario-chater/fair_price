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mpact luxury sedan" sheetId="2" r:id="rId6"/>
    <sheet state="visible" name="Sedan compacto" sheetId="3" r:id="rId7"/>
    <sheet state="visible" name="Luxury compact suv" sheetId="4" r:id="rId8"/>
  </sheets>
  <definedNames>
    <definedName hidden="1" localSheetId="1" name="_xlnm._FilterDatabase">'Compact luxury sedan'!$A$1:$G$5</definedName>
    <definedName hidden="1" localSheetId="2" name="_xlnm._FilterDatabase">'Sedan compacto'!$A$1:$G$5</definedName>
    <definedName hidden="1" localSheetId="3" name="_xlnm._FilterDatabase">'Luxury compact suv'!$A$1:$G$9</definedName>
  </definedNames>
  <calcPr/>
</workbook>
</file>

<file path=xl/sharedStrings.xml><?xml version="1.0" encoding="utf-8"?>
<sst xmlns="http://schemas.openxmlformats.org/spreadsheetml/2006/main" count="63" uniqueCount="33">
  <si>
    <t>Carro</t>
  </si>
  <si>
    <t>EUA</t>
  </si>
  <si>
    <t>Brasil</t>
  </si>
  <si>
    <t>Audi A5</t>
  </si>
  <si>
    <t>BMW Série 3</t>
  </si>
  <si>
    <t>Lexus ES 300h</t>
  </si>
  <si>
    <t>Mercedes Classe C</t>
  </si>
  <si>
    <t>Car</t>
  </si>
  <si>
    <t>BR price (BRL)</t>
  </si>
  <si>
    <t>BR price (USD)</t>
  </si>
  <si>
    <t>US price (BRL)</t>
  </si>
  <si>
    <t>US price (USD)</t>
  </si>
  <si>
    <t>Markup</t>
  </si>
  <si>
    <t>Country</t>
  </si>
  <si>
    <t>Exchange rate</t>
  </si>
  <si>
    <t>Germany</t>
  </si>
  <si>
    <t>BMW 3 series</t>
  </si>
  <si>
    <t>Japan</t>
  </si>
  <si>
    <t>Mercedes classe C</t>
  </si>
  <si>
    <t>Nissan Versa</t>
  </si>
  <si>
    <t>Toyota Corolla (XEi / SE)</t>
  </si>
  <si>
    <t>Volkswagen Jetta GLI</t>
  </si>
  <si>
    <t>Honda Civic Hybrid</t>
  </si>
  <si>
    <t>Volvo XC60 Plug-in Hybrid</t>
  </si>
  <si>
    <t>Sweden</t>
  </si>
  <si>
    <t>Porsche Macan</t>
  </si>
  <si>
    <t>Audi Q5</t>
  </si>
  <si>
    <t>Porsche Cayenne S</t>
  </si>
  <si>
    <t>BMW X3 50</t>
  </si>
  <si>
    <t>Mercedes GLC</t>
  </si>
  <si>
    <t>Range Rover Velar</t>
  </si>
  <si>
    <t>England</t>
  </si>
  <si>
    <t>BMW X3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</si>
</sst>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29292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Font="1" applyNumberFormat="1"/>
    <xf borderId="0" fillId="0" fontId="1" numFmtId="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293414.0</v>
      </c>
      <c r="C2" s="1">
        <v>399990.0</v>
      </c>
    </row>
    <row r="3">
      <c r="A3" s="1" t="s">
        <v>4</v>
      </c>
      <c r="B3" s="2">
        <v>251520.0</v>
      </c>
      <c r="C3" s="1">
        <v>354950.0</v>
      </c>
    </row>
    <row r="4">
      <c r="A4" s="1" t="s">
        <v>5</v>
      </c>
      <c r="B4" s="1">
        <v>234935.0</v>
      </c>
      <c r="C4" s="1">
        <v>360990.0</v>
      </c>
    </row>
    <row r="5">
      <c r="A5" s="1" t="s">
        <v>6</v>
      </c>
      <c r="B5" s="2">
        <v>273266.0</v>
      </c>
      <c r="C5" s="1">
        <v>459900.0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>
        <v>5.24</v>
      </c>
      <c r="M1" s="1">
        <v>50000.0</v>
      </c>
    </row>
    <row r="2">
      <c r="A2" s="1" t="s">
        <v>3</v>
      </c>
      <c r="B2" s="1">
        <v>399990.0</v>
      </c>
      <c r="C2" s="3">
        <f t="shared" ref="C2:C5" si="1">B2/$I$1</f>
        <v>76333.96947</v>
      </c>
      <c r="D2" s="2">
        <f t="shared" ref="D2:D5" si="2">E2*$I$1</f>
        <v>293413.8</v>
      </c>
      <c r="E2" s="1">
        <v>55995.0</v>
      </c>
      <c r="F2" s="4">
        <f t="shared" ref="F2:F5" si="3">B2/D2-1</f>
        <v>0.3632283144</v>
      </c>
      <c r="G2" s="1" t="s">
        <v>15</v>
      </c>
      <c r="M2" s="1">
        <v>30000.0</v>
      </c>
    </row>
    <row r="3">
      <c r="A3" s="1" t="s">
        <v>16</v>
      </c>
      <c r="B3" s="1">
        <v>354950.0</v>
      </c>
      <c r="C3" s="3">
        <f t="shared" si="1"/>
        <v>67738.54962</v>
      </c>
      <c r="D3" s="2">
        <f t="shared" si="2"/>
        <v>251520</v>
      </c>
      <c r="E3" s="1">
        <v>48000.0</v>
      </c>
      <c r="F3" s="4">
        <f t="shared" si="3"/>
        <v>0.4112197837</v>
      </c>
      <c r="G3" s="1" t="s">
        <v>15</v>
      </c>
      <c r="M3" s="2">
        <f>M1-M2</f>
        <v>20000</v>
      </c>
    </row>
    <row r="4">
      <c r="A4" s="1" t="s">
        <v>5</v>
      </c>
      <c r="B4" s="5">
        <v>360990.0</v>
      </c>
      <c r="C4" s="3">
        <f t="shared" si="1"/>
        <v>68891.22137</v>
      </c>
      <c r="D4" s="2">
        <f t="shared" si="2"/>
        <v>234935.4</v>
      </c>
      <c r="E4" s="1">
        <v>44835.0</v>
      </c>
      <c r="F4" s="4">
        <f t="shared" si="3"/>
        <v>0.5365500474</v>
      </c>
      <c r="G4" s="1" t="s">
        <v>17</v>
      </c>
      <c r="M4" s="1">
        <v>15000.0</v>
      </c>
    </row>
    <row r="5">
      <c r="A5" s="1" t="s">
        <v>18</v>
      </c>
      <c r="B5" s="1">
        <v>459900.0</v>
      </c>
      <c r="C5" s="3">
        <f t="shared" si="1"/>
        <v>87767.17557</v>
      </c>
      <c r="D5" s="2">
        <f t="shared" si="2"/>
        <v>273266</v>
      </c>
      <c r="E5" s="1">
        <v>52150.0</v>
      </c>
      <c r="F5" s="4">
        <f t="shared" si="3"/>
        <v>0.6829755623</v>
      </c>
      <c r="G5" s="1" t="s">
        <v>15</v>
      </c>
    </row>
  </sheetData>
  <autoFilter ref="$A$1:$G$5">
    <sortState ref="A1:G5">
      <sortCondition ref="F1:F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>
        <v>5.24</v>
      </c>
    </row>
    <row r="2">
      <c r="A2" s="1" t="s">
        <v>19</v>
      </c>
      <c r="B2" s="1">
        <v>117990.0</v>
      </c>
      <c r="C2" s="3">
        <f t="shared" ref="C2:C5" si="1">B2/$I$1</f>
        <v>22517.17557</v>
      </c>
      <c r="D2" s="2">
        <f t="shared" ref="D2:D5" si="2">E2*$I$1</f>
        <v>100555.6</v>
      </c>
      <c r="E2" s="1">
        <v>19190.0</v>
      </c>
      <c r="F2" s="4">
        <f t="shared" ref="F2:F5" si="3">B2/D2-1</f>
        <v>0.1733806968</v>
      </c>
      <c r="G2" s="1" t="s">
        <v>17</v>
      </c>
    </row>
    <row r="3">
      <c r="A3" s="1" t="s">
        <v>20</v>
      </c>
      <c r="B3" s="1">
        <v>174990.0</v>
      </c>
      <c r="C3" s="3">
        <f t="shared" si="1"/>
        <v>33395.03817</v>
      </c>
      <c r="D3" s="2">
        <f t="shared" si="2"/>
        <v>132912.6</v>
      </c>
      <c r="E3" s="1">
        <v>25365.0</v>
      </c>
      <c r="F3" s="4">
        <f t="shared" si="3"/>
        <v>0.3165794665</v>
      </c>
      <c r="G3" s="1" t="s">
        <v>17</v>
      </c>
    </row>
    <row r="4">
      <c r="A4" s="1" t="s">
        <v>21</v>
      </c>
      <c r="B4" s="1">
        <v>275390.0</v>
      </c>
      <c r="C4" s="3">
        <f t="shared" si="1"/>
        <v>52555.34351</v>
      </c>
      <c r="D4" s="2">
        <f t="shared" si="2"/>
        <v>176823.8</v>
      </c>
      <c r="E4" s="1">
        <v>33745.0</v>
      </c>
      <c r="F4" s="4">
        <f t="shared" si="3"/>
        <v>0.5574260931</v>
      </c>
      <c r="G4" s="1" t="s">
        <v>15</v>
      </c>
    </row>
    <row r="5">
      <c r="A5" s="1" t="s">
        <v>22</v>
      </c>
      <c r="B5" s="1">
        <v>266500.0</v>
      </c>
      <c r="C5" s="3">
        <f t="shared" si="1"/>
        <v>50858.77863</v>
      </c>
      <c r="D5" s="2">
        <f t="shared" si="2"/>
        <v>154029.8</v>
      </c>
      <c r="E5" s="1">
        <v>29395.0</v>
      </c>
      <c r="F5" s="4">
        <f t="shared" si="3"/>
        <v>0.7301846785</v>
      </c>
      <c r="G5" s="1" t="s">
        <v>17</v>
      </c>
    </row>
  </sheetData>
  <autoFilter ref="$A$1:$G$5">
    <sortState ref="A1:G5">
      <sortCondition ref="F1:F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>
        <v>5.24</v>
      </c>
    </row>
    <row r="2">
      <c r="A2" s="1" t="s">
        <v>23</v>
      </c>
      <c r="B2" s="1">
        <v>459950.0</v>
      </c>
      <c r="C2" s="3">
        <f t="shared" ref="C2:C9" si="1">B2/$I$1</f>
        <v>87776.71756</v>
      </c>
      <c r="D2" s="2">
        <f t="shared" ref="D2:D9" si="2">E2*$I$1</f>
        <v>327735.8</v>
      </c>
      <c r="E2" s="1">
        <v>62545.0</v>
      </c>
      <c r="F2" s="4">
        <f t="shared" ref="F2:F9" si="3">B2/D2-1</f>
        <v>0.4034170207</v>
      </c>
      <c r="G2" s="1" t="s">
        <v>24</v>
      </c>
    </row>
    <row r="3">
      <c r="A3" s="1" t="s">
        <v>25</v>
      </c>
      <c r="B3" s="1">
        <v>530000.0</v>
      </c>
      <c r="C3" s="3">
        <f t="shared" si="1"/>
        <v>101145.0382</v>
      </c>
      <c r="D3" s="2">
        <f t="shared" si="2"/>
        <v>355010</v>
      </c>
      <c r="E3" s="1">
        <v>67750.0</v>
      </c>
      <c r="F3" s="4">
        <f t="shared" si="3"/>
        <v>0.4929156925</v>
      </c>
      <c r="G3" s="1" t="s">
        <v>15</v>
      </c>
    </row>
    <row r="4">
      <c r="A4" s="1" t="s">
        <v>26</v>
      </c>
      <c r="B4" s="1">
        <v>424990.0</v>
      </c>
      <c r="C4" s="3">
        <f t="shared" si="1"/>
        <v>81104.96183</v>
      </c>
      <c r="D4" s="2">
        <f t="shared" si="2"/>
        <v>276672</v>
      </c>
      <c r="E4" s="1">
        <v>52800.0</v>
      </c>
      <c r="F4" s="4">
        <f t="shared" si="3"/>
        <v>0.5360788226</v>
      </c>
      <c r="G4" s="1" t="s">
        <v>15</v>
      </c>
    </row>
    <row r="5">
      <c r="A5" s="1" t="s">
        <v>27</v>
      </c>
      <c r="B5" s="1">
        <v>950000.0</v>
      </c>
      <c r="C5" s="3">
        <f t="shared" si="1"/>
        <v>181297.7099</v>
      </c>
      <c r="D5" s="2">
        <f t="shared" si="2"/>
        <v>590076.4</v>
      </c>
      <c r="E5" s="1">
        <v>112610.0</v>
      </c>
      <c r="F5" s="4">
        <f t="shared" si="3"/>
        <v>0.6099610152</v>
      </c>
      <c r="G5" s="1" t="s">
        <v>15</v>
      </c>
    </row>
    <row r="6">
      <c r="A6" s="1" t="s">
        <v>28</v>
      </c>
      <c r="B6" s="1">
        <v>645950.0</v>
      </c>
      <c r="C6" s="3">
        <f t="shared" si="1"/>
        <v>123272.9008</v>
      </c>
      <c r="D6" s="2">
        <f t="shared" si="2"/>
        <v>374398</v>
      </c>
      <c r="E6" s="1">
        <v>71450.0</v>
      </c>
      <c r="F6" s="4">
        <f t="shared" si="3"/>
        <v>0.7253030198</v>
      </c>
      <c r="G6" s="1" t="s">
        <v>15</v>
      </c>
    </row>
    <row r="7">
      <c r="A7" s="1" t="s">
        <v>29</v>
      </c>
      <c r="B7" s="1">
        <v>527900.0</v>
      </c>
      <c r="C7" s="3">
        <f t="shared" si="1"/>
        <v>100744.2748</v>
      </c>
      <c r="D7" s="2">
        <f t="shared" si="2"/>
        <v>303658</v>
      </c>
      <c r="E7" s="1">
        <v>57950.0</v>
      </c>
      <c r="F7" s="4">
        <f t="shared" si="3"/>
        <v>0.7384689354</v>
      </c>
      <c r="G7" s="1" t="s">
        <v>15</v>
      </c>
    </row>
    <row r="8">
      <c r="A8" s="1" t="s">
        <v>30</v>
      </c>
      <c r="B8" s="1">
        <v>769769.0</v>
      </c>
      <c r="C8" s="3">
        <f t="shared" si="1"/>
        <v>146902.4809</v>
      </c>
      <c r="D8" s="2">
        <f t="shared" si="2"/>
        <v>420641</v>
      </c>
      <c r="E8" s="1">
        <v>80275.0</v>
      </c>
      <c r="F8" s="4">
        <f t="shared" si="3"/>
        <v>0.8299904194</v>
      </c>
      <c r="G8" s="1" t="s">
        <v>31</v>
      </c>
    </row>
    <row r="9">
      <c r="A9" s="1" t="s">
        <v>32</v>
      </c>
      <c r="B9" s="1">
        <v>515950.0</v>
      </c>
      <c r="C9" s="3">
        <f t="shared" si="1"/>
        <v>98463.74046</v>
      </c>
      <c r="D9" s="2">
        <f t="shared" si="2"/>
        <v>280340</v>
      </c>
      <c r="E9" s="1">
        <v>53500.0</v>
      </c>
      <c r="F9" s="4">
        <f t="shared" si="3"/>
        <v>0.8404437469</v>
      </c>
      <c r="G9" s="1" t="s">
        <v>15</v>
      </c>
    </row>
  </sheetData>
  <autoFilter ref="$A$1:$G$9">
    <sortState ref="A1:G9">
      <sortCondition ref="F1:F9"/>
    </sortState>
  </autoFilter>
  <drawing r:id="rId1"/>
</worksheet>
</file>